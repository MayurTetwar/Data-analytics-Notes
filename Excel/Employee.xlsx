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_Analytics\Excel\"/>
    </mc:Choice>
  </mc:AlternateContent>
  <xr:revisionPtr revIDLastSave="0" documentId="13_ncr:1_{CFDFBB9F-6382-4368-A58E-FD1B7F433355}" xr6:coauthVersionLast="36" xr6:coauthVersionMax="36" xr10:uidLastSave="{00000000-0000-0000-0000-000000000000}"/>
  <bookViews>
    <workbookView xWindow="240" yWindow="60" windowWidth="20115" windowHeight="8010" activeTab="1" xr2:uid="{00000000-000D-0000-FFFF-FFFF00000000}"/>
  </bookViews>
  <sheets>
    <sheet name="Employee" sheetId="1" r:id="rId1"/>
    <sheet name="Data Cleaning" sheetId="5" r:id="rId2"/>
    <sheet name="Sales" sheetId="3" r:id="rId3"/>
    <sheet name="Chart of Sales" sheetId="4" r:id="rId4"/>
  </sheets>
  <definedNames>
    <definedName name="_xlnm._FilterDatabase" localSheetId="1" hidden="1">'Data Cleaning'!$A$1:$K$48</definedName>
    <definedName name="_xlnm._FilterDatabase" localSheetId="0" hidden="1">Employee!$A$1:$I$12</definedName>
  </definedNames>
  <calcPr calcId="191029"/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2" i="5"/>
  <c r="N6" i="3" l="1"/>
  <c r="C10" i="3" l="1"/>
  <c r="D10" i="3"/>
  <c r="E10" i="3"/>
  <c r="F10" i="3"/>
  <c r="G10" i="3"/>
  <c r="H10" i="3"/>
  <c r="I10" i="3"/>
  <c r="J10" i="3"/>
  <c r="K10" i="3"/>
  <c r="L10" i="3"/>
  <c r="M10" i="3"/>
  <c r="N10" i="3" s="1"/>
  <c r="B10" i="3"/>
  <c r="N4" i="3"/>
  <c r="N5" i="3"/>
  <c r="N7" i="3"/>
  <c r="N8" i="3"/>
  <c r="N9" i="3"/>
  <c r="N3" i="3"/>
</calcChain>
</file>

<file path=xl/sharedStrings.xml><?xml version="1.0" encoding="utf-8"?>
<sst xmlns="http://schemas.openxmlformats.org/spreadsheetml/2006/main" count="337" uniqueCount="264">
  <si>
    <t>emp_id</t>
  </si>
  <si>
    <t>fname</t>
  </si>
  <si>
    <t>lname</t>
  </si>
  <si>
    <t>email</t>
  </si>
  <si>
    <t>dept</t>
  </si>
  <si>
    <t>salary</t>
  </si>
  <si>
    <t>hire_date</t>
  </si>
  <si>
    <t>Mayur</t>
  </si>
  <si>
    <t>Tetwar</t>
  </si>
  <si>
    <t>mayur.tetwar@example.com</t>
  </si>
  <si>
    <t>DS</t>
  </si>
  <si>
    <t>Arjun</t>
  </si>
  <si>
    <t>Verma</t>
  </si>
  <si>
    <t>arjun.verma@example.com</t>
  </si>
  <si>
    <t>IT</t>
  </si>
  <si>
    <t>Suman</t>
  </si>
  <si>
    <t>Patel</t>
  </si>
  <si>
    <t>suman.patel@example.com</t>
  </si>
  <si>
    <t>Finance</t>
  </si>
  <si>
    <t>Rao</t>
  </si>
  <si>
    <t>kavita.rao@example.com</t>
  </si>
  <si>
    <t>HR</t>
  </si>
  <si>
    <t>Gupta</t>
  </si>
  <si>
    <t>amit.gupta@example.com</t>
  </si>
  <si>
    <t>Marketing</t>
  </si>
  <si>
    <t>Neha</t>
  </si>
  <si>
    <t>Desai</t>
  </si>
  <si>
    <t>neha.desai@example.com</t>
  </si>
  <si>
    <t>Rahul</t>
  </si>
  <si>
    <t>Kumar</t>
  </si>
  <si>
    <t>rahul.kumar@example.com</t>
  </si>
  <si>
    <t>Anjali</t>
  </si>
  <si>
    <t>Mehta</t>
  </si>
  <si>
    <t>anjali.mehta@example.com</t>
  </si>
  <si>
    <t>Vijay</t>
  </si>
  <si>
    <t>Nair</t>
  </si>
  <si>
    <t>vijay.nair@example.com</t>
  </si>
  <si>
    <t>Tejas</t>
  </si>
  <si>
    <t>Deshmukh</t>
  </si>
  <si>
    <t>Singing</t>
  </si>
  <si>
    <t>Rudra</t>
  </si>
  <si>
    <t>Kushwaha</t>
  </si>
  <si>
    <t>rudrakush@gmail.com</t>
  </si>
  <si>
    <t>tejas.desh@example.com</t>
  </si>
  <si>
    <t>Mayur Tetwar</t>
  </si>
  <si>
    <t>Tejas Deshmukh</t>
  </si>
  <si>
    <t>Arjun Verma</t>
  </si>
  <si>
    <t>Suman Patel</t>
  </si>
  <si>
    <t>neha Gupta</t>
  </si>
  <si>
    <t>Neha Desai</t>
  </si>
  <si>
    <t>Rahul Kumar</t>
  </si>
  <si>
    <t>Anjali Mehta</t>
  </si>
  <si>
    <t>Vijay Nair</t>
  </si>
  <si>
    <t>Rudra Kushwaha</t>
  </si>
  <si>
    <t>full name</t>
  </si>
  <si>
    <t>gender</t>
  </si>
  <si>
    <t>Male</t>
  </si>
  <si>
    <t>Female</t>
  </si>
  <si>
    <t>Kavita Rao</t>
  </si>
  <si>
    <t>Kavita</t>
  </si>
  <si>
    <t>Jay</t>
  </si>
  <si>
    <t>Dunder Mifflin Sales Report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</si>
  <si>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</si>
  <si>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</si>
  <si>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</si>
  <si>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</si>
  <si>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</si>
  <si>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</si>
  <si>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</si>
  <si>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</si>
  <si>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</si>
  <si>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</si>
  <si>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</si>
  <si>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</si>
  <si>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End Total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</si>
  <si>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</si>
  <si>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</si>
  <si>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</si>
  <si>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</si>
  <si>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</si>
  <si>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</si>
  <si>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</si>
  <si>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</si>
  <si>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S.No.</t>
  </si>
  <si>
    <t>president</t>
  </si>
  <si>
    <t>prior</t>
  </si>
  <si>
    <t>party</t>
  </si>
  <si>
    <t>vice</t>
  </si>
  <si>
    <t>date updated</t>
  </si>
  <si>
    <t>date created</t>
  </si>
  <si>
    <t>George Washington</t>
  </si>
  <si>
    <t>Commander-in-Chief  of the  Continental Army   ( 1775â€“1783 )</t>
  </si>
  <si>
    <t>Nonpartisan</t>
  </si>
  <si>
    <t>John Adams</t>
  </si>
  <si>
    <t>$5,000.00</t>
  </si>
  <si>
    <t>john adams</t>
  </si>
  <si>
    <t>1st  Vice President of the United States</t>
  </si>
  <si>
    <t>Federalist</t>
  </si>
  <si>
    <t>Thomas Jefferson</t>
  </si>
  <si>
    <t>$10,000.00</t>
  </si>
  <si>
    <t>2nd  Vice President of the United States</t>
  </si>
  <si>
    <t>Democratic-  Republican</t>
  </si>
  <si>
    <t xml:space="preserve">    Aaron Burr</t>
  </si>
  <si>
    <t>$15,000.00</t>
  </si>
  <si>
    <t>James Madison</t>
  </si>
  <si>
    <t>5th  United States Secretary of State   (1801â€“1809)</t>
  </si>
  <si>
    <t>George    Clinton</t>
  </si>
  <si>
    <t>$20,000.00</t>
  </si>
  <si>
    <t>JAMES MONROE</t>
  </si>
  <si>
    <t>7th  United States Secretary of State   (1811â€“1817)</t>
  </si>
  <si>
    <t>Daniel D. Tompkins</t>
  </si>
  <si>
    <t>$25,000.00</t>
  </si>
  <si>
    <t>John Quincy Adams</t>
  </si>
  <si>
    <t>8th  United States Secretary of State   (1817â€“1825)</t>
  </si>
  <si>
    <t>John C. Calhoun</t>
  </si>
  <si>
    <t>$30,000.00</t>
  </si>
  <si>
    <t>Andrew Jackson</t>
  </si>
  <si>
    <t>U.S. Senator   ( Class 2 )   from  Tennessee   (1823â€“1825)</t>
  </si>
  <si>
    <t>Democratic</t>
  </si>
  <si>
    <t>John C.     Calhoun</t>
  </si>
  <si>
    <t>$35,000.00</t>
  </si>
  <si>
    <t>Martin Van Buren</t>
  </si>
  <si>
    <t>8th  Vice President of the United States</t>
  </si>
  <si>
    <t>Richard Mentor Johnson</t>
  </si>
  <si>
    <t>$40,000.00</t>
  </si>
  <si>
    <t>William Henry Harrison</t>
  </si>
  <si>
    <t>United States Minister to Colombia   (1828â€“1829)</t>
  </si>
  <si>
    <t>Whig</t>
  </si>
  <si>
    <t>John Tyler</t>
  </si>
  <si>
    <t>$45,000.00</t>
  </si>
  <si>
    <t>john tyler</t>
  </si>
  <si>
    <t>10th  Vice President of the United States</t>
  </si>
  <si>
    <t>Office vacant</t>
  </si>
  <si>
    <t>$50,000.00</t>
  </si>
  <si>
    <t>James K. Polk</t>
  </si>
  <si>
    <t>9th  Governor of Tennessee   (1839â€“1841)</t>
  </si>
  <si>
    <t>George         M. Dallas</t>
  </si>
  <si>
    <t>$55,000.00</t>
  </si>
  <si>
    <t>Zachary Taylor</t>
  </si>
  <si>
    <t>Major General  of the  1st Infantry Regiment   United States Army   (1846â€“1849)</t>
  </si>
  <si>
    <t xml:space="preserve">               Millard Fillmore</t>
  </si>
  <si>
    <t>$60,000.00</t>
  </si>
  <si>
    <t>Millard Fillmore</t>
  </si>
  <si>
    <t>12th  Vice President of the United States</t>
  </si>
  <si>
    <t>$65,000.00</t>
  </si>
  <si>
    <t>Franklin Pierce</t>
  </si>
  <si>
    <t>Brigadier General  of the  9th Infantry   United States Army   (1847â€“1848)</t>
  </si>
  <si>
    <t>William R. King</t>
  </si>
  <si>
    <t>$75,000.00</t>
  </si>
  <si>
    <t>James Buchanan</t>
  </si>
  <si>
    <t>United States Minister  to the   Court of St James's   (1853â€“1856)</t>
  </si>
  <si>
    <t>John C. Breckinridge</t>
  </si>
  <si>
    <t>$85,000.00</t>
  </si>
  <si>
    <t>Abraham Lincoln</t>
  </si>
  <si>
    <t>U.S. Representative  for  Illinois' 7th District   (1847â€“1849)</t>
  </si>
  <si>
    <t>Republican</t>
  </si>
  <si>
    <t>Hannibal Hamlin</t>
  </si>
  <si>
    <t>$95,000.00</t>
  </si>
  <si>
    <t>Andrew Johnson</t>
  </si>
  <si>
    <t>16th  Vice President of the United States</t>
  </si>
  <si>
    <t>$1,05,000.00</t>
  </si>
  <si>
    <t>Ulysses S. Grant</t>
  </si>
  <si>
    <t>Commanding General  of the U.S. Army   ( 1864â€“1869 )</t>
  </si>
  <si>
    <t>Schuyler Colfax</t>
  </si>
  <si>
    <t>$1,15,000.00</t>
  </si>
  <si>
    <t>Rutherford B. Hayes</t>
  </si>
  <si>
    <t>29th &amp; 32nd  Governor of Ohio   (1868â€“1872 &amp; 1876â€“1877)</t>
  </si>
  <si>
    <t>William A. Wheeler</t>
  </si>
  <si>
    <t>$1,25,000.00</t>
  </si>
  <si>
    <t>James A. Garfield</t>
  </si>
  <si>
    <t>U.S. Representative  for  Ohio's 19th District   (1863â€“1881)</t>
  </si>
  <si>
    <t>Chester A. Arthur</t>
  </si>
  <si>
    <t>$1,35,000.00</t>
  </si>
  <si>
    <t>20th  Vice President of the United States</t>
  </si>
  <si>
    <t>$1,45,000.00</t>
  </si>
  <si>
    <t>Grover Cleveland</t>
  </si>
  <si>
    <t>28th  Governor of New York   (1883â€“1885)</t>
  </si>
  <si>
    <t>Thomas A. Hendricks</t>
  </si>
  <si>
    <t>$1,55,000.00</t>
  </si>
  <si>
    <t>Benjamin Harrison</t>
  </si>
  <si>
    <t>U.S. Senator   ( Class 1 )   from  Indiana   (1881â€“1887)</t>
  </si>
  <si>
    <t>Levi P. Morton</t>
  </si>
  <si>
    <t>$1,65,000.00</t>
  </si>
  <si>
    <t>22nd  President of the United States   (1885â€“1889)</t>
  </si>
  <si>
    <t>Adlai Stevenson</t>
  </si>
  <si>
    <t>$1,75,000.00</t>
  </si>
  <si>
    <t>William McKinley</t>
  </si>
  <si>
    <t>39th  Governor of Ohio   (1892â€“1896)</t>
  </si>
  <si>
    <t>Garret Hobart</t>
  </si>
  <si>
    <t>$1,85,000.00</t>
  </si>
  <si>
    <t>Theodore Roosevelt</t>
  </si>
  <si>
    <t>25th  Vice President of the United States</t>
  </si>
  <si>
    <t>$1,95,000.00</t>
  </si>
  <si>
    <t>William Howard Taft</t>
  </si>
  <si>
    <t>42nd  United States Secretary of War   (1904â€“1908)</t>
  </si>
  <si>
    <t>James S. Sherman</t>
  </si>
  <si>
    <t>$2,05,000.00</t>
  </si>
  <si>
    <t>Woodrow Wilson</t>
  </si>
  <si>
    <t>34th  Governor of New Jersey   (1911â€“1913)</t>
  </si>
  <si>
    <t>Thomas R. Marshall</t>
  </si>
  <si>
    <t>$2,25,000.00</t>
  </si>
  <si>
    <t>Warren G. Harding</t>
  </si>
  <si>
    <t>U.S. Senator   ( Class 3 )   from  Ohio   (1915â€“1921)</t>
  </si>
  <si>
    <t>Calvin Coolidge</t>
  </si>
  <si>
    <t>$2,35,000.00</t>
  </si>
  <si>
    <t>29th  Vice President of the United States</t>
  </si>
  <si>
    <t>$2,45,000.00</t>
  </si>
  <si>
    <t>Herbert Hoover</t>
  </si>
  <si>
    <t>3rd  United States Secretary of Commerce   (1921â€“1928)</t>
  </si>
  <si>
    <t>Charles Curtis</t>
  </si>
  <si>
    <t>$2,55,000.00</t>
  </si>
  <si>
    <t>Franklin D. Roosevelt</t>
  </si>
  <si>
    <t>44th  Governor of New York   ( 1929â€“1932 )</t>
  </si>
  <si>
    <t>John Nance Garner</t>
  </si>
  <si>
    <t>$2,65,000.00</t>
  </si>
  <si>
    <t>Harry S. Truman</t>
  </si>
  <si>
    <t>34th  Vice President of the United States</t>
  </si>
  <si>
    <t>$2,75,000.00</t>
  </si>
  <si>
    <t>Dwight D. Eisenhower</t>
  </si>
  <si>
    <t>Supreme Allied Commander Europe   ( 1949â€“1952 )</t>
  </si>
  <si>
    <t>Richard Nixon</t>
  </si>
  <si>
    <t>$2,85,000.00</t>
  </si>
  <si>
    <t>John F. Kennedy</t>
  </si>
  <si>
    <t>U.S. Senator   ( Class 1 )   from  Massachusetts   (1953â€“1960)</t>
  </si>
  <si>
    <t>Lyndon B. Johnson</t>
  </si>
  <si>
    <t>$2,95,000.00</t>
  </si>
  <si>
    <t>37th  Vice President of the United States</t>
  </si>
  <si>
    <t>$3,05,000.00</t>
  </si>
  <si>
    <t>36th  Vice President of the United States   (1953â€“1961)</t>
  </si>
  <si>
    <t>Spiro Agnew</t>
  </si>
  <si>
    <t>$3,15,000.00</t>
  </si>
  <si>
    <t>Gerald Ford</t>
  </si>
  <si>
    <t>40th  Vice President of the United States</t>
  </si>
  <si>
    <t>$3,25,000.00</t>
  </si>
  <si>
    <t>Jimmy Carter</t>
  </si>
  <si>
    <t>76th  Governor of Georgia   (1971â€“1975)</t>
  </si>
  <si>
    <t>Walter Mondale</t>
  </si>
  <si>
    <t>$3,35,000.00</t>
  </si>
  <si>
    <t>Ronald Reagan</t>
  </si>
  <si>
    <t>33rd  Governor of California   ( 1967â€“1975 )</t>
  </si>
  <si>
    <t>George H. W. Bush</t>
  </si>
  <si>
    <t>$3,45,000.00</t>
  </si>
  <si>
    <t>43rd  Vice President of the United States</t>
  </si>
  <si>
    <t>Dan Quayle</t>
  </si>
  <si>
    <t>$3,55,000.00</t>
  </si>
  <si>
    <t>Bill Clinton</t>
  </si>
  <si>
    <t>40th &amp; 42nd  Governor of Arkansas   (1979â€“1981 &amp; 1983â€“1992)</t>
  </si>
  <si>
    <t>Al Gore</t>
  </si>
  <si>
    <t>$3,65,000.00</t>
  </si>
  <si>
    <t>George W. Bush</t>
  </si>
  <si>
    <t>46th  Governor of Texas   ( 1995â€“2000 )</t>
  </si>
  <si>
    <t>Dick Cheney</t>
  </si>
  <si>
    <t>$3,75,000.00</t>
  </si>
  <si>
    <t>Barack Obama</t>
  </si>
  <si>
    <t>U.S. Senator   ( Class 3 )   from  Illinois   ( 2005â€“2008 )</t>
  </si>
  <si>
    <t>Joe Biden</t>
  </si>
  <si>
    <t>$3,95,000.00</t>
  </si>
  <si>
    <t>Donald Trump</t>
  </si>
  <si>
    <t>Chairman of   The Trump Organization   ( 1971â€“present )</t>
  </si>
  <si>
    <t>Mike Pence</t>
  </si>
  <si>
    <t>$4,05,000.00</t>
  </si>
  <si>
    <t>president-fixed</t>
  </si>
  <si>
    <t xml:space="preserve">Whig  </t>
  </si>
  <si>
    <t>vice-fixed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</si>
</sst>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NumberFormat="1"/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Fill="1"/>
    <xf numFmtId="164" fontId="0" fillId="0" borderId="0" xfId="0" applyNumberFormat="1" applyFill="1"/>
    <xf numFmtId="0" fontId="0" fillId="0" borderId="10" xfId="0" applyFill="1" applyBorder="1"/>
    <xf numFmtId="0" fontId="0" fillId="0" borderId="12" xfId="0" applyFill="1" applyBorder="1"/>
    <xf numFmtId="0" fontId="0" fillId="0" borderId="0" xfId="0" applyFill="1" applyBorder="1"/>
    <xf numFmtId="164" fontId="0" fillId="0" borderId="0" xfId="0" applyNumberFormat="1" applyFill="1" applyBorder="1"/>
    <xf numFmtId="0" fontId="0" fillId="0" borderId="13" xfId="0" applyFill="1" applyBorder="1"/>
    <xf numFmtId="14" fontId="0" fillId="0" borderId="14" xfId="0" applyNumberFormat="1" applyFill="1" applyBorder="1" applyAlignment="1"/>
    <xf numFmtId="0" fontId="0" fillId="0" borderId="15" xfId="0" applyFill="1" applyBorder="1"/>
    <xf numFmtId="164" fontId="0" fillId="0" borderId="15" xfId="0" applyNumberFormat="1" applyFill="1" applyBorder="1"/>
    <xf numFmtId="14" fontId="0" fillId="0" borderId="11" xfId="0" applyNumberFormat="1" applyFill="1" applyBorder="1" applyAlignment="1"/>
    <xf numFmtId="0" fontId="0" fillId="0" borderId="0" xfId="0" applyBorder="1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Sells Per Month 2D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9-4F26-A091-F950C702EB18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C9-4F26-A091-F950C702EB1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C9-4F26-A091-F950C702EB18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C9-4F26-A091-F950C702EB1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C9-4F26-A091-F950C702EB18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C9-4F26-A091-F950C702EB18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C9-4F26-A091-F950C702E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4578752"/>
        <c:axId val="414584328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732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41C9-4F26-A091-F950C702EB18}"/>
                  </c:ext>
                </c:extLst>
              </c15:ser>
            </c15:filteredBarSeries>
          </c:ext>
        </c:extLst>
      </c:barChart>
      <c:catAx>
        <c:axId val="41457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584328"/>
        <c:crosses val="autoZero"/>
        <c:auto val="1"/>
        <c:lblAlgn val="ctr"/>
        <c:lblOffset val="100"/>
        <c:noMultiLvlLbl val="0"/>
      </c:catAx>
      <c:valAx>
        <c:axId val="41458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57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</a:t>
            </a:r>
            <a:r>
              <a:rPr lang="en-IN" sz="1400" b="0" i="0" u="none" strike="noStrike" baseline="0">
                <a:effectLst/>
              </a:rPr>
              <a:t>Sells</a:t>
            </a:r>
            <a:r>
              <a:rPr lang="en-IN" baseline="0"/>
              <a:t> Per Month 3D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3-486A-A678-AD259ED9D945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03-486A-A678-AD259ED9D945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03-486A-A678-AD259ED9D945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03-486A-A678-AD259ED9D945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03-486A-A678-AD259ED9D945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03-486A-A678-AD259ED9D945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03-486A-A678-AD259ED9D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414578752"/>
        <c:axId val="414584328"/>
        <c:axId val="409966936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732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FA03-486A-A678-AD259ED9D945}"/>
                  </c:ext>
                </c:extLst>
              </c15:ser>
            </c15:filteredBarSeries>
          </c:ext>
        </c:extLst>
      </c:bar3DChart>
      <c:catAx>
        <c:axId val="41457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584328"/>
        <c:crosses val="autoZero"/>
        <c:auto val="1"/>
        <c:lblAlgn val="ctr"/>
        <c:lblOffset val="100"/>
        <c:noMultiLvlLbl val="0"/>
      </c:catAx>
      <c:valAx>
        <c:axId val="41458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578752"/>
        <c:crosses val="autoZero"/>
        <c:crossBetween val="between"/>
      </c:valAx>
      <c:serAx>
        <c:axId val="4099669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58432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Sells TimeLine over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CE-4CCC-9B39-8E3BAC407BFB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CE-4CCC-9B39-8E3BAC407BFB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CE-4CCC-9B39-8E3BAC407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578752"/>
        <c:axId val="414584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0CE-4CCC-9B39-8E3BAC407BF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27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CE-4CCC-9B39-8E3BAC407BF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0CE-4CCC-9B39-8E3BAC407BF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0CE-4CCC-9B39-8E3BAC407BF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0CE-4CCC-9B39-8E3BAC407BFB}"/>
                  </c:ext>
                </c:extLst>
              </c15:ser>
            </c15:filteredLineSeries>
          </c:ext>
        </c:extLst>
      </c:lineChart>
      <c:catAx>
        <c:axId val="41457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584328"/>
        <c:crosses val="autoZero"/>
        <c:auto val="1"/>
        <c:lblAlgn val="ctr"/>
        <c:lblOffset val="100"/>
        <c:noMultiLvlLbl val="0"/>
      </c:catAx>
      <c:valAx>
        <c:axId val="41458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57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Solved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CA-4E1F-A798-9BAEDBE24B31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CA-4E1F-A798-9BAEDBE24B31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A-4E1F-A798-9BAEDBE24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578752"/>
        <c:axId val="414584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ACA-4E1F-A798-9BAEDBE24B3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27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ACA-4E1F-A798-9BAEDBE24B3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ACA-4E1F-A798-9BAEDBE24B3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ACA-4E1F-A798-9BAEDBE24B3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ACA-4E1F-A798-9BAEDBE24B31}"/>
                  </c:ext>
                </c:extLst>
              </c15:ser>
            </c15:filteredLineSeries>
          </c:ext>
        </c:extLst>
      </c:lineChart>
      <c:catAx>
        <c:axId val="41457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584328"/>
        <c:crosses val="autoZero"/>
        <c:auto val="1"/>
        <c:lblAlgn val="ctr"/>
        <c:lblOffset val="100"/>
        <c:noMultiLvlLbl val="0"/>
      </c:catAx>
      <c:valAx>
        <c:axId val="41458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578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28575</xdr:rowOff>
    </xdr:from>
    <xdr:to>
      <xdr:col>6</xdr:col>
      <xdr:colOff>561975</xdr:colOff>
      <xdr:row>13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9A7AE-BD48-4E05-B043-DBAFB5D5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13</xdr:col>
      <xdr:colOff>523875</xdr:colOff>
      <xdr:row>13</xdr:row>
      <xdr:rowOff>147638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A24663-4E77-4F57-9E39-3C2077EA5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20</xdr:col>
      <xdr:colOff>523875</xdr:colOff>
      <xdr:row>13</xdr:row>
      <xdr:rowOff>147638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EFC579-18CE-42E7-ADD2-930B53436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15</xdr:row>
      <xdr:rowOff>0</xdr:rowOff>
    </xdr:from>
    <xdr:to>
      <xdr:col>8</xdr:col>
      <xdr:colOff>285751</xdr:colOff>
      <xdr:row>30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A37AA8-21D9-45C3-A9D9-A054DEABB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zoomScaleNormal="100" workbookViewId="0">
      <selection activeCell="H18" sqref="H18"/>
    </sheetView>
  </sheetViews>
  <sheetFormatPr defaultRowHeight="15" x14ac:dyDescent="0.25"/>
  <cols>
    <col min="1" max="1" width="7.7109375" style="4" bestFit="1" customWidth="1"/>
    <col min="2" max="2" width="7" style="4" bestFit="1" customWidth="1"/>
    <col min="3" max="3" width="10.42578125" style="4" bestFit="1" customWidth="1"/>
    <col min="4" max="4" width="15.7109375" style="4" bestFit="1" customWidth="1"/>
    <col min="5" max="5" width="7.5703125" style="4" bestFit="1" customWidth="1"/>
    <col min="6" max="6" width="27.42578125" style="4" bestFit="1" customWidth="1"/>
    <col min="7" max="7" width="10" style="4" bestFit="1" customWidth="1"/>
    <col min="8" max="8" width="12.28515625" style="4" bestFit="1" customWidth="1"/>
    <col min="9" max="9" width="10.42578125" style="4" bestFit="1" customWidth="1"/>
    <col min="10" max="10" width="13.140625" customWidth="1"/>
    <col min="11" max="11" width="12.7109375" bestFit="1" customWidth="1"/>
  </cols>
  <sheetData>
    <row r="1" spans="1:11" x14ac:dyDescent="0.25">
      <c r="A1" s="6" t="s">
        <v>0</v>
      </c>
      <c r="B1" s="6" t="s">
        <v>1</v>
      </c>
      <c r="C1" s="6" t="s">
        <v>2</v>
      </c>
      <c r="D1" s="6" t="s">
        <v>54</v>
      </c>
      <c r="E1" s="6" t="s">
        <v>55</v>
      </c>
      <c r="F1" s="6" t="s">
        <v>3</v>
      </c>
      <c r="G1" s="6" t="s">
        <v>4</v>
      </c>
      <c r="H1" s="6" t="s">
        <v>5</v>
      </c>
      <c r="I1" s="6" t="s">
        <v>6</v>
      </c>
      <c r="J1" s="1"/>
    </row>
    <row r="2" spans="1:11" x14ac:dyDescent="0.25">
      <c r="A2" s="10">
        <v>1</v>
      </c>
      <c r="B2" s="8" t="s">
        <v>28</v>
      </c>
      <c r="C2" s="8" t="s">
        <v>29</v>
      </c>
      <c r="D2" s="8" t="s">
        <v>50</v>
      </c>
      <c r="E2" s="8" t="s">
        <v>56</v>
      </c>
      <c r="F2" s="8" t="s">
        <v>30</v>
      </c>
      <c r="G2" s="8" t="s">
        <v>14</v>
      </c>
      <c r="H2" s="9">
        <v>45000</v>
      </c>
      <c r="I2" s="11">
        <v>44241</v>
      </c>
      <c r="J2" s="1"/>
    </row>
    <row r="3" spans="1:11" x14ac:dyDescent="0.25">
      <c r="A3" s="10">
        <v>2</v>
      </c>
      <c r="B3" s="8" t="s">
        <v>59</v>
      </c>
      <c r="C3" s="8" t="s">
        <v>19</v>
      </c>
      <c r="D3" s="8" t="s">
        <v>58</v>
      </c>
      <c r="E3" s="8" t="s">
        <v>57</v>
      </c>
      <c r="F3" s="8" t="s">
        <v>20</v>
      </c>
      <c r="G3" s="8" t="s">
        <v>18</v>
      </c>
      <c r="H3" s="9">
        <v>47000</v>
      </c>
      <c r="I3" s="11">
        <v>44145</v>
      </c>
      <c r="J3" s="1"/>
    </row>
    <row r="4" spans="1:11" x14ac:dyDescent="0.25">
      <c r="A4" s="10">
        <v>3</v>
      </c>
      <c r="B4" s="8" t="s">
        <v>25</v>
      </c>
      <c r="C4" s="8" t="s">
        <v>26</v>
      </c>
      <c r="D4" s="8" t="s">
        <v>49</v>
      </c>
      <c r="E4" s="8" t="s">
        <v>57</v>
      </c>
      <c r="F4" s="8" t="s">
        <v>27</v>
      </c>
      <c r="G4" s="8" t="s">
        <v>14</v>
      </c>
      <c r="H4" s="9">
        <v>48000</v>
      </c>
      <c r="I4" s="11">
        <v>43603</v>
      </c>
      <c r="J4" s="1"/>
    </row>
    <row r="5" spans="1:11" x14ac:dyDescent="0.25">
      <c r="A5" s="10">
        <v>4</v>
      </c>
      <c r="B5" s="8" t="s">
        <v>34</v>
      </c>
      <c r="C5" s="8" t="s">
        <v>35</v>
      </c>
      <c r="D5" s="8" t="s">
        <v>52</v>
      </c>
      <c r="E5" s="8" t="s">
        <v>56</v>
      </c>
      <c r="F5" s="8" t="s">
        <v>36</v>
      </c>
      <c r="G5" s="8" t="s">
        <v>24</v>
      </c>
      <c r="H5" s="9">
        <v>50000</v>
      </c>
      <c r="I5" s="11">
        <v>43940</v>
      </c>
      <c r="J5" s="1"/>
    </row>
    <row r="6" spans="1:11" x14ac:dyDescent="0.25">
      <c r="A6" s="10">
        <v>5</v>
      </c>
      <c r="B6" s="8" t="s">
        <v>60</v>
      </c>
      <c r="C6" s="8" t="s">
        <v>22</v>
      </c>
      <c r="D6" s="8" t="s">
        <v>48</v>
      </c>
      <c r="E6" s="8" t="s">
        <v>57</v>
      </c>
      <c r="F6" s="8" t="s">
        <v>23</v>
      </c>
      <c r="G6" s="8" t="s">
        <v>24</v>
      </c>
      <c r="H6" s="9">
        <v>52000</v>
      </c>
      <c r="I6" s="11">
        <v>44099</v>
      </c>
      <c r="J6" s="1"/>
    </row>
    <row r="7" spans="1:11" x14ac:dyDescent="0.25">
      <c r="A7" s="10">
        <v>6</v>
      </c>
      <c r="B7" s="8" t="s">
        <v>11</v>
      </c>
      <c r="C7" s="8" t="s">
        <v>12</v>
      </c>
      <c r="D7" s="8" t="s">
        <v>46</v>
      </c>
      <c r="E7" s="8" t="s">
        <v>56</v>
      </c>
      <c r="F7" s="8" t="s">
        <v>13</v>
      </c>
      <c r="G7" s="8" t="s">
        <v>14</v>
      </c>
      <c r="H7" s="9">
        <v>55000</v>
      </c>
      <c r="I7" s="11">
        <v>44348</v>
      </c>
      <c r="J7" s="1"/>
    </row>
    <row r="8" spans="1:11" x14ac:dyDescent="0.25">
      <c r="A8" s="10">
        <v>7</v>
      </c>
      <c r="B8" s="8" t="s">
        <v>15</v>
      </c>
      <c r="C8" s="8" t="s">
        <v>16</v>
      </c>
      <c r="D8" s="8" t="s">
        <v>47</v>
      </c>
      <c r="E8" s="8" t="s">
        <v>57</v>
      </c>
      <c r="F8" s="8" t="s">
        <v>17</v>
      </c>
      <c r="G8" s="8" t="s">
        <v>21</v>
      </c>
      <c r="H8" s="9">
        <v>60000</v>
      </c>
      <c r="I8" s="11">
        <v>43311</v>
      </c>
      <c r="J8" s="1"/>
    </row>
    <row r="9" spans="1:11" x14ac:dyDescent="0.25">
      <c r="A9" s="10">
        <v>8</v>
      </c>
      <c r="B9" s="8" t="s">
        <v>31</v>
      </c>
      <c r="C9" s="8" t="s">
        <v>32</v>
      </c>
      <c r="D9" s="8" t="s">
        <v>51</v>
      </c>
      <c r="E9" s="8" t="s">
        <v>57</v>
      </c>
      <c r="F9" s="8" t="s">
        <v>33</v>
      </c>
      <c r="G9" s="8" t="s">
        <v>18</v>
      </c>
      <c r="H9" s="9">
        <v>61000</v>
      </c>
      <c r="I9" s="11">
        <v>43437</v>
      </c>
      <c r="J9" s="1"/>
    </row>
    <row r="10" spans="1:11" x14ac:dyDescent="0.25">
      <c r="A10" s="10">
        <v>9</v>
      </c>
      <c r="B10" s="8" t="s">
        <v>40</v>
      </c>
      <c r="C10" s="8" t="s">
        <v>41</v>
      </c>
      <c r="D10" s="8" t="s">
        <v>53</v>
      </c>
      <c r="E10" s="8" t="s">
        <v>56</v>
      </c>
      <c r="F10" s="8" t="s">
        <v>42</v>
      </c>
      <c r="G10" s="8" t="s">
        <v>21</v>
      </c>
      <c r="H10" s="9">
        <v>90000</v>
      </c>
      <c r="I10" s="11">
        <v>45828</v>
      </c>
      <c r="J10" s="1"/>
    </row>
    <row r="11" spans="1:11" x14ac:dyDescent="0.25">
      <c r="A11" s="10">
        <v>10</v>
      </c>
      <c r="B11" s="8" t="s">
        <v>7</v>
      </c>
      <c r="C11" s="8" t="s">
        <v>8</v>
      </c>
      <c r="D11" s="8" t="s">
        <v>44</v>
      </c>
      <c r="E11" s="8" t="s">
        <v>56</v>
      </c>
      <c r="F11" s="8" t="s">
        <v>9</v>
      </c>
      <c r="G11" s="8" t="s">
        <v>10</v>
      </c>
      <c r="H11" s="9">
        <v>100000</v>
      </c>
      <c r="I11" s="11">
        <v>46351</v>
      </c>
      <c r="J11" s="1"/>
    </row>
    <row r="12" spans="1:11" x14ac:dyDescent="0.25">
      <c r="A12" s="7">
        <v>11</v>
      </c>
      <c r="B12" s="12" t="s">
        <v>37</v>
      </c>
      <c r="C12" s="12" t="s">
        <v>38</v>
      </c>
      <c r="D12" s="12" t="s">
        <v>45</v>
      </c>
      <c r="E12" s="12" t="s">
        <v>56</v>
      </c>
      <c r="F12" s="12" t="s">
        <v>43</v>
      </c>
      <c r="G12" s="12" t="s">
        <v>39</v>
      </c>
      <c r="H12" s="13">
        <v>100000</v>
      </c>
      <c r="I12" s="14">
        <v>46834</v>
      </c>
      <c r="J12" s="1"/>
      <c r="K12" s="15"/>
    </row>
    <row r="13" spans="1:11" x14ac:dyDescent="0.25">
      <c r="H13" s="5"/>
    </row>
  </sheetData>
  <sortState ref="A2:I12">
    <sortCondition ref="H2:H12"/>
  </sortState>
  <dataConsolidate/>
  <conditionalFormatting sqref="A2:A12">
    <cfRule type="expression" dxfId="2" priority="3" stopIfTrue="1">
      <formula>$H2="IT"</formula>
    </cfRule>
  </conditionalFormatting>
  <dataValidations count="4">
    <dataValidation type="decimal" operator="greaterThan" allowBlank="1" showInputMessage="1" showErrorMessage="1" errorTitle="Invlid Entry" error="Bee sahi value de_x000a_" sqref="H2:H12" xr:uid="{D547E81B-74B2-4774-A333-51D6DCB859DC}">
      <formula1>0</formula1>
    </dataValidation>
    <dataValidation type="date" operator="greaterThanOrEqual" allowBlank="1" showInputMessage="1" showErrorMessage="1" sqref="I2:I13" xr:uid="{00504B9D-81CC-4E57-A656-86CBD5EF1CB3}">
      <formula1>36526</formula1>
    </dataValidation>
    <dataValidation type="whole" operator="greaterThan" allowBlank="1" showInputMessage="1" showErrorMessage="1" errorTitle="Invalid ID" error="Enter positive id and whol number only_x000a_" sqref="A2:A13" xr:uid="{86079BA1-E0DA-4542-A5E8-75C7CC5CC221}">
      <formula1>0</formula1>
    </dataValidation>
    <dataValidation type="textLength" operator="greaterThan" allowBlank="1" showInputMessage="1" showErrorMessage="1" sqref="B2:B12" xr:uid="{2CB8AE51-8083-4A11-8C1F-33654067504B}">
      <formula1>1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61F6-C128-4E98-9714-0C14A04BA93E}">
  <dimension ref="A1:K48"/>
  <sheetViews>
    <sheetView tabSelected="1" topLeftCell="E1" workbookViewId="0">
      <selection activeCell="H6" sqref="H6"/>
    </sheetView>
  </sheetViews>
  <sheetFormatPr defaultRowHeight="15" x14ac:dyDescent="0.25"/>
  <cols>
    <col min="1" max="1" width="3" bestFit="1" customWidth="1"/>
    <col min="2" max="2" width="5.7109375" bestFit="1" customWidth="1"/>
    <col min="3" max="3" width="21.85546875" bestFit="1" customWidth="1"/>
    <col min="4" max="4" width="21.85546875" customWidth="1"/>
    <col min="5" max="5" width="73.5703125" bestFit="1" customWidth="1"/>
    <col min="6" max="6" width="40.42578125" bestFit="1" customWidth="1"/>
    <col min="7" max="7" width="22.7109375" bestFit="1" customWidth="1"/>
    <col min="8" max="8" width="22.7109375" customWidth="1"/>
    <col min="9" max="9" width="11.7109375" bestFit="1" customWidth="1"/>
    <col min="10" max="10" width="12.85546875" bestFit="1" customWidth="1"/>
    <col min="11" max="11" width="12.140625" bestFit="1" customWidth="1"/>
  </cols>
  <sheetData>
    <row r="1" spans="1:11" x14ac:dyDescent="0.25">
      <c r="B1" t="s">
        <v>83</v>
      </c>
      <c r="C1" t="s">
        <v>84</v>
      </c>
      <c r="D1" t="s">
        <v>261</v>
      </c>
      <c r="E1" t="s">
        <v>85</v>
      </c>
      <c r="F1" t="s">
        <v>86</v>
      </c>
      <c r="G1" t="s">
        <v>87</v>
      </c>
      <c r="H1" t="s">
        <v>263</v>
      </c>
      <c r="I1" t="s">
        <v>5</v>
      </c>
      <c r="J1" t="s">
        <v>88</v>
      </c>
      <c r="K1" t="s">
        <v>89</v>
      </c>
    </row>
    <row r="2" spans="1:11" x14ac:dyDescent="0.25">
      <c r="A2">
        <v>0</v>
      </c>
      <c r="B2">
        <v>1</v>
      </c>
      <c r="C2" t="s">
        <v>90</v>
      </c>
      <c r="D2" t="str">
        <f>PROPER(C2)</f>
        <v>George Washington</v>
      </c>
      <c r="E2" t="s">
        <v>91</v>
      </c>
      <c r="F2" t="s">
        <v>92</v>
      </c>
      <c r="G2" t="s">
        <v>93</v>
      </c>
      <c r="H2" t="str">
        <f>TRIM(PROPER(G2))</f>
        <v>John Adams</v>
      </c>
      <c r="I2" t="s">
        <v>94</v>
      </c>
      <c r="J2" s="16">
        <v>44391</v>
      </c>
      <c r="K2" s="16">
        <v>40972</v>
      </c>
    </row>
    <row r="3" spans="1:11" x14ac:dyDescent="0.25">
      <c r="A3">
        <v>1</v>
      </c>
      <c r="B3">
        <v>2</v>
      </c>
      <c r="C3" t="s">
        <v>95</v>
      </c>
      <c r="D3" t="str">
        <f t="shared" ref="D3:D47" si="0">PROPER(C3)</f>
        <v>John Adams</v>
      </c>
      <c r="E3" t="s">
        <v>96</v>
      </c>
      <c r="F3" t="s">
        <v>97</v>
      </c>
      <c r="G3" t="s">
        <v>98</v>
      </c>
      <c r="H3" t="str">
        <f t="shared" ref="H3:H48" si="1">TRIM(PROPER(G3))</f>
        <v>Thomas Jefferson</v>
      </c>
      <c r="I3" t="s">
        <v>99</v>
      </c>
      <c r="J3" s="16">
        <v>44391</v>
      </c>
      <c r="K3" s="16">
        <v>40972</v>
      </c>
    </row>
    <row r="4" spans="1:11" x14ac:dyDescent="0.25">
      <c r="A4">
        <v>2</v>
      </c>
      <c r="B4">
        <v>3</v>
      </c>
      <c r="C4" t="s">
        <v>98</v>
      </c>
      <c r="D4" t="str">
        <f t="shared" si="0"/>
        <v>Thomas Jefferson</v>
      </c>
      <c r="E4" t="s">
        <v>100</v>
      </c>
      <c r="F4" t="s">
        <v>101</v>
      </c>
      <c r="G4" t="s">
        <v>102</v>
      </c>
      <c r="H4" t="str">
        <f t="shared" si="1"/>
        <v>Aaron Burr</v>
      </c>
      <c r="I4" t="s">
        <v>103</v>
      </c>
      <c r="J4" s="16">
        <v>44391</v>
      </c>
      <c r="K4" s="16">
        <v>40972</v>
      </c>
    </row>
    <row r="5" spans="1:11" x14ac:dyDescent="0.25">
      <c r="A5">
        <v>3</v>
      </c>
      <c r="B5">
        <v>4</v>
      </c>
      <c r="C5" t="s">
        <v>104</v>
      </c>
      <c r="D5" t="str">
        <f t="shared" si="0"/>
        <v>James Madison</v>
      </c>
      <c r="E5" t="s">
        <v>105</v>
      </c>
      <c r="F5" t="s">
        <v>101</v>
      </c>
      <c r="G5" t="s">
        <v>106</v>
      </c>
      <c r="H5" t="str">
        <f t="shared" si="1"/>
        <v>George Clinton</v>
      </c>
      <c r="I5" t="s">
        <v>107</v>
      </c>
      <c r="J5" s="16">
        <v>44391</v>
      </c>
      <c r="K5" s="16">
        <v>40972</v>
      </c>
    </row>
    <row r="6" spans="1:11" x14ac:dyDescent="0.25">
      <c r="A6">
        <v>4</v>
      </c>
      <c r="B6">
        <v>5</v>
      </c>
      <c r="C6" t="s">
        <v>108</v>
      </c>
      <c r="D6" t="str">
        <f t="shared" si="0"/>
        <v>James Monroe</v>
      </c>
      <c r="E6" t="s">
        <v>109</v>
      </c>
      <c r="F6" t="s">
        <v>101</v>
      </c>
      <c r="G6" t="s">
        <v>110</v>
      </c>
      <c r="H6" t="str">
        <f t="shared" si="1"/>
        <v>Daniel D. Tompkins</v>
      </c>
      <c r="I6" t="s">
        <v>111</v>
      </c>
      <c r="J6" s="16">
        <v>44391</v>
      </c>
      <c r="K6" s="16">
        <v>40972</v>
      </c>
    </row>
    <row r="7" spans="1:11" x14ac:dyDescent="0.25">
      <c r="A7">
        <v>5</v>
      </c>
      <c r="B7">
        <v>6</v>
      </c>
      <c r="C7" t="s">
        <v>112</v>
      </c>
      <c r="D7" t="str">
        <f t="shared" si="0"/>
        <v>John Quincy Adams</v>
      </c>
      <c r="E7" t="s">
        <v>113</v>
      </c>
      <c r="F7" t="s">
        <v>101</v>
      </c>
      <c r="G7" t="s">
        <v>114</v>
      </c>
      <c r="H7" t="str">
        <f t="shared" si="1"/>
        <v>John C. Calhoun</v>
      </c>
      <c r="I7" t="s">
        <v>115</v>
      </c>
      <c r="J7" s="16">
        <v>44391</v>
      </c>
      <c r="K7" s="16">
        <v>40972</v>
      </c>
    </row>
    <row r="8" spans="1:11" x14ac:dyDescent="0.25">
      <c r="A8">
        <v>6</v>
      </c>
      <c r="B8">
        <v>7</v>
      </c>
      <c r="C8" t="s">
        <v>116</v>
      </c>
      <c r="D8" t="str">
        <f t="shared" si="0"/>
        <v>Andrew Jackson</v>
      </c>
      <c r="E8" t="s">
        <v>117</v>
      </c>
      <c r="F8" t="s">
        <v>118</v>
      </c>
      <c r="G8" t="s">
        <v>119</v>
      </c>
      <c r="H8" t="str">
        <f t="shared" si="1"/>
        <v>John C. Calhoun</v>
      </c>
      <c r="I8" t="s">
        <v>120</v>
      </c>
      <c r="J8" s="16">
        <v>44391</v>
      </c>
      <c r="K8" s="16">
        <v>40972</v>
      </c>
    </row>
    <row r="9" spans="1:11" x14ac:dyDescent="0.25">
      <c r="A9">
        <v>7</v>
      </c>
      <c r="B9">
        <v>8</v>
      </c>
      <c r="C9" t="s">
        <v>121</v>
      </c>
      <c r="D9" t="str">
        <f t="shared" si="0"/>
        <v>Martin Van Buren</v>
      </c>
      <c r="E9" t="s">
        <v>122</v>
      </c>
      <c r="F9" t="s">
        <v>118</v>
      </c>
      <c r="G9" t="s">
        <v>123</v>
      </c>
      <c r="H9" t="str">
        <f t="shared" si="1"/>
        <v>Richard Mentor Johnson</v>
      </c>
      <c r="I9" t="s">
        <v>124</v>
      </c>
      <c r="J9" s="16">
        <v>44391</v>
      </c>
      <c r="K9" s="16">
        <v>40972</v>
      </c>
    </row>
    <row r="10" spans="1:11" x14ac:dyDescent="0.25">
      <c r="A10">
        <v>8</v>
      </c>
      <c r="B10">
        <v>9</v>
      </c>
      <c r="C10" t="s">
        <v>125</v>
      </c>
      <c r="D10" t="str">
        <f t="shared" si="0"/>
        <v>William Henry Harrison</v>
      </c>
      <c r="E10" t="s">
        <v>126</v>
      </c>
      <c r="F10" t="s">
        <v>127</v>
      </c>
      <c r="G10" t="s">
        <v>128</v>
      </c>
      <c r="H10" t="str">
        <f t="shared" si="1"/>
        <v>John Tyler</v>
      </c>
      <c r="I10" t="s">
        <v>129</v>
      </c>
      <c r="J10" s="16">
        <v>44391</v>
      </c>
      <c r="K10" s="16">
        <v>40972</v>
      </c>
    </row>
    <row r="11" spans="1:11" x14ac:dyDescent="0.25">
      <c r="A11">
        <v>9</v>
      </c>
      <c r="B11">
        <v>10</v>
      </c>
      <c r="C11" t="s">
        <v>130</v>
      </c>
      <c r="D11" t="str">
        <f t="shared" si="0"/>
        <v>John Tyler</v>
      </c>
      <c r="E11" t="s">
        <v>131</v>
      </c>
      <c r="F11" t="s">
        <v>262</v>
      </c>
      <c r="G11" t="s">
        <v>132</v>
      </c>
      <c r="H11" t="str">
        <f t="shared" si="1"/>
        <v>Office Vacant</v>
      </c>
      <c r="I11" t="s">
        <v>133</v>
      </c>
      <c r="J11" s="16">
        <v>44391</v>
      </c>
      <c r="K11" s="16">
        <v>40972</v>
      </c>
    </row>
    <row r="12" spans="1:11" x14ac:dyDescent="0.25">
      <c r="A12">
        <v>10</v>
      </c>
      <c r="B12">
        <v>11</v>
      </c>
      <c r="C12" t="s">
        <v>134</v>
      </c>
      <c r="D12" t="str">
        <f t="shared" si="0"/>
        <v>James K. Polk</v>
      </c>
      <c r="E12" t="s">
        <v>135</v>
      </c>
      <c r="F12" t="s">
        <v>118</v>
      </c>
      <c r="G12" t="s">
        <v>136</v>
      </c>
      <c r="H12" t="str">
        <f t="shared" si="1"/>
        <v>George M. Dallas</v>
      </c>
      <c r="I12" t="s">
        <v>137</v>
      </c>
      <c r="J12" s="16">
        <v>44391</v>
      </c>
      <c r="K12" s="16">
        <v>40972</v>
      </c>
    </row>
    <row r="13" spans="1:11" x14ac:dyDescent="0.25">
      <c r="A13">
        <v>11</v>
      </c>
      <c r="B13">
        <v>12</v>
      </c>
      <c r="C13" t="s">
        <v>138</v>
      </c>
      <c r="D13" t="str">
        <f t="shared" si="0"/>
        <v>Zachary Taylor</v>
      </c>
      <c r="E13" t="s">
        <v>139</v>
      </c>
      <c r="F13" t="s">
        <v>127</v>
      </c>
      <c r="G13" t="s">
        <v>140</v>
      </c>
      <c r="H13" t="str">
        <f t="shared" si="1"/>
        <v>Millard Fillmore</v>
      </c>
      <c r="I13" t="s">
        <v>141</v>
      </c>
      <c r="J13" s="16">
        <v>44391</v>
      </c>
      <c r="K13" s="16">
        <v>40972</v>
      </c>
    </row>
    <row r="14" spans="1:11" x14ac:dyDescent="0.25">
      <c r="A14">
        <v>12</v>
      </c>
      <c r="B14">
        <v>13</v>
      </c>
      <c r="C14" t="s">
        <v>142</v>
      </c>
      <c r="D14" t="str">
        <f t="shared" si="0"/>
        <v>Millard Fillmore</v>
      </c>
      <c r="E14" t="s">
        <v>143</v>
      </c>
      <c r="F14" t="s">
        <v>127</v>
      </c>
      <c r="G14" t="s">
        <v>132</v>
      </c>
      <c r="H14" t="str">
        <f t="shared" si="1"/>
        <v>Office Vacant</v>
      </c>
      <c r="I14" t="s">
        <v>144</v>
      </c>
      <c r="J14" s="16">
        <v>44391</v>
      </c>
      <c r="K14" s="16">
        <v>40972</v>
      </c>
    </row>
    <row r="15" spans="1:11" x14ac:dyDescent="0.25">
      <c r="A15">
        <v>13</v>
      </c>
      <c r="B15">
        <v>14</v>
      </c>
      <c r="C15" t="s">
        <v>145</v>
      </c>
      <c r="D15" t="str">
        <f t="shared" si="0"/>
        <v>Franklin Pierce</v>
      </c>
      <c r="E15" t="s">
        <v>146</v>
      </c>
      <c r="F15" t="s">
        <v>118</v>
      </c>
      <c r="G15" t="s">
        <v>147</v>
      </c>
      <c r="H15" t="str">
        <f t="shared" si="1"/>
        <v>William R. King</v>
      </c>
      <c r="I15" t="s">
        <v>148</v>
      </c>
      <c r="J15" s="16">
        <v>44391</v>
      </c>
      <c r="K15" s="16">
        <v>40972</v>
      </c>
    </row>
    <row r="16" spans="1:11" x14ac:dyDescent="0.25">
      <c r="A16">
        <v>14</v>
      </c>
      <c r="B16">
        <v>15</v>
      </c>
      <c r="C16" t="s">
        <v>149</v>
      </c>
      <c r="D16" t="str">
        <f t="shared" si="0"/>
        <v>James Buchanan</v>
      </c>
      <c r="E16" t="s">
        <v>150</v>
      </c>
      <c r="F16" t="s">
        <v>118</v>
      </c>
      <c r="G16" t="s">
        <v>151</v>
      </c>
      <c r="H16" t="str">
        <f t="shared" si="1"/>
        <v>John C. Breckinridge</v>
      </c>
      <c r="I16" t="s">
        <v>152</v>
      </c>
      <c r="J16" s="16">
        <v>44391</v>
      </c>
      <c r="K16" s="16">
        <v>40972</v>
      </c>
    </row>
    <row r="17" spans="1:11" x14ac:dyDescent="0.25">
      <c r="A17">
        <v>15</v>
      </c>
      <c r="B17">
        <v>16</v>
      </c>
      <c r="C17" t="s">
        <v>153</v>
      </c>
      <c r="D17" t="str">
        <f t="shared" si="0"/>
        <v>Abraham Lincoln</v>
      </c>
      <c r="E17" t="s">
        <v>154</v>
      </c>
      <c r="F17" t="s">
        <v>155</v>
      </c>
      <c r="G17" t="s">
        <v>156</v>
      </c>
      <c r="H17" t="str">
        <f t="shared" si="1"/>
        <v>Hannibal Hamlin</v>
      </c>
      <c r="I17" t="s">
        <v>157</v>
      </c>
      <c r="J17" s="16">
        <v>44391</v>
      </c>
      <c r="K17" s="16">
        <v>40972</v>
      </c>
    </row>
    <row r="18" spans="1:11" x14ac:dyDescent="0.25">
      <c r="A18">
        <v>16</v>
      </c>
      <c r="B18">
        <v>17</v>
      </c>
      <c r="C18" t="s">
        <v>158</v>
      </c>
      <c r="D18" t="str">
        <f t="shared" si="0"/>
        <v>Andrew Johnson</v>
      </c>
      <c r="E18" t="s">
        <v>159</v>
      </c>
      <c r="F18" t="s">
        <v>118</v>
      </c>
      <c r="G18" t="s">
        <v>132</v>
      </c>
      <c r="H18" t="str">
        <f t="shared" si="1"/>
        <v>Office Vacant</v>
      </c>
      <c r="I18" t="s">
        <v>160</v>
      </c>
      <c r="J18" s="16">
        <v>44391</v>
      </c>
      <c r="K18" s="16">
        <v>40972</v>
      </c>
    </row>
    <row r="19" spans="1:11" x14ac:dyDescent="0.25">
      <c r="A19">
        <v>17</v>
      </c>
      <c r="B19">
        <v>18</v>
      </c>
      <c r="C19" t="s">
        <v>161</v>
      </c>
      <c r="D19" t="str">
        <f t="shared" si="0"/>
        <v>Ulysses S. Grant</v>
      </c>
      <c r="E19" t="s">
        <v>162</v>
      </c>
      <c r="F19" t="s">
        <v>155</v>
      </c>
      <c r="G19" t="s">
        <v>163</v>
      </c>
      <c r="H19" t="str">
        <f t="shared" si="1"/>
        <v>Schuyler Colfax</v>
      </c>
      <c r="I19" t="s">
        <v>164</v>
      </c>
      <c r="J19" s="16">
        <v>44391</v>
      </c>
      <c r="K19" s="16">
        <v>40972</v>
      </c>
    </row>
    <row r="20" spans="1:11" x14ac:dyDescent="0.25">
      <c r="A20">
        <v>18</v>
      </c>
      <c r="B20">
        <v>19</v>
      </c>
      <c r="C20" t="s">
        <v>165</v>
      </c>
      <c r="D20" t="str">
        <f t="shared" si="0"/>
        <v>Rutherford B. Hayes</v>
      </c>
      <c r="E20" t="s">
        <v>166</v>
      </c>
      <c r="F20" t="s">
        <v>155</v>
      </c>
      <c r="G20" t="s">
        <v>167</v>
      </c>
      <c r="H20" t="str">
        <f t="shared" si="1"/>
        <v>William A. Wheeler</v>
      </c>
      <c r="I20" t="s">
        <v>168</v>
      </c>
      <c r="J20" s="16">
        <v>44391</v>
      </c>
      <c r="K20" s="16">
        <v>40972</v>
      </c>
    </row>
    <row r="21" spans="1:11" x14ac:dyDescent="0.25">
      <c r="A21">
        <v>19</v>
      </c>
      <c r="B21">
        <v>20</v>
      </c>
      <c r="C21" t="s">
        <v>169</v>
      </c>
      <c r="D21" t="str">
        <f t="shared" si="0"/>
        <v>James A. Garfield</v>
      </c>
      <c r="E21" t="s">
        <v>170</v>
      </c>
      <c r="F21" t="s">
        <v>155</v>
      </c>
      <c r="G21" t="s">
        <v>171</v>
      </c>
      <c r="H21" t="str">
        <f t="shared" si="1"/>
        <v>Chester A. Arthur</v>
      </c>
      <c r="I21" t="s">
        <v>172</v>
      </c>
      <c r="J21" s="16">
        <v>44391</v>
      </c>
      <c r="K21" s="16">
        <v>40972</v>
      </c>
    </row>
    <row r="22" spans="1:11" x14ac:dyDescent="0.25">
      <c r="A22">
        <v>20</v>
      </c>
      <c r="B22">
        <v>21</v>
      </c>
      <c r="C22" t="s">
        <v>171</v>
      </c>
      <c r="D22" t="str">
        <f t="shared" si="0"/>
        <v>Chester A. Arthur</v>
      </c>
      <c r="E22" t="s">
        <v>173</v>
      </c>
      <c r="F22" t="s">
        <v>155</v>
      </c>
      <c r="G22" t="s">
        <v>132</v>
      </c>
      <c r="H22" t="str">
        <f t="shared" si="1"/>
        <v>Office Vacant</v>
      </c>
      <c r="I22" t="s">
        <v>174</v>
      </c>
      <c r="J22" s="16">
        <v>44391</v>
      </c>
      <c r="K22" s="16">
        <v>40972</v>
      </c>
    </row>
    <row r="23" spans="1:11" x14ac:dyDescent="0.25">
      <c r="A23">
        <v>21</v>
      </c>
      <c r="B23">
        <v>22</v>
      </c>
      <c r="C23" t="s">
        <v>175</v>
      </c>
      <c r="D23" t="str">
        <f t="shared" si="0"/>
        <v>Grover Cleveland</v>
      </c>
      <c r="E23" t="s">
        <v>176</v>
      </c>
      <c r="F23" t="s">
        <v>118</v>
      </c>
      <c r="G23" t="s">
        <v>177</v>
      </c>
      <c r="H23" t="str">
        <f t="shared" si="1"/>
        <v>Thomas A. Hendricks</v>
      </c>
      <c r="I23" t="s">
        <v>178</v>
      </c>
      <c r="J23" s="16">
        <v>44391</v>
      </c>
      <c r="K23" s="16">
        <v>40972</v>
      </c>
    </row>
    <row r="24" spans="1:11" x14ac:dyDescent="0.25">
      <c r="A24">
        <v>22</v>
      </c>
      <c r="B24">
        <v>23</v>
      </c>
      <c r="C24" t="s">
        <v>179</v>
      </c>
      <c r="D24" t="str">
        <f t="shared" si="0"/>
        <v>Benjamin Harrison</v>
      </c>
      <c r="E24" t="s">
        <v>180</v>
      </c>
      <c r="F24" t="s">
        <v>155</v>
      </c>
      <c r="G24" t="s">
        <v>181</v>
      </c>
      <c r="H24" t="str">
        <f t="shared" si="1"/>
        <v>Levi P. Morton</v>
      </c>
      <c r="I24" t="s">
        <v>182</v>
      </c>
      <c r="J24" s="16">
        <v>44391</v>
      </c>
      <c r="K24" s="16">
        <v>40972</v>
      </c>
    </row>
    <row r="25" spans="1:11" x14ac:dyDescent="0.25">
      <c r="A25">
        <v>23</v>
      </c>
      <c r="B25">
        <v>24</v>
      </c>
      <c r="C25" t="s">
        <v>175</v>
      </c>
      <c r="D25" t="str">
        <f t="shared" si="0"/>
        <v>Grover Cleveland</v>
      </c>
      <c r="E25" t="s">
        <v>183</v>
      </c>
      <c r="F25" t="s">
        <v>118</v>
      </c>
      <c r="G25" t="s">
        <v>184</v>
      </c>
      <c r="H25" t="str">
        <f t="shared" si="1"/>
        <v>Adlai Stevenson</v>
      </c>
      <c r="I25" t="s">
        <v>185</v>
      </c>
      <c r="J25" s="16">
        <v>44391</v>
      </c>
      <c r="K25" s="16">
        <v>40972</v>
      </c>
    </row>
    <row r="26" spans="1:11" x14ac:dyDescent="0.25">
      <c r="A26">
        <v>24</v>
      </c>
      <c r="B26">
        <v>25</v>
      </c>
      <c r="C26" t="s">
        <v>186</v>
      </c>
      <c r="D26" t="str">
        <f t="shared" si="0"/>
        <v>William Mckinley</v>
      </c>
      <c r="E26" t="s">
        <v>187</v>
      </c>
      <c r="F26" t="s">
        <v>155</v>
      </c>
      <c r="G26" t="s">
        <v>188</v>
      </c>
      <c r="H26" t="str">
        <f t="shared" si="1"/>
        <v>Garret Hobart</v>
      </c>
      <c r="I26" t="s">
        <v>189</v>
      </c>
      <c r="J26" s="16">
        <v>44391</v>
      </c>
      <c r="K26" s="16">
        <v>40972</v>
      </c>
    </row>
    <row r="27" spans="1:11" x14ac:dyDescent="0.25">
      <c r="A27">
        <v>25</v>
      </c>
      <c r="B27">
        <v>26</v>
      </c>
      <c r="C27" t="s">
        <v>190</v>
      </c>
      <c r="D27" t="str">
        <f t="shared" si="0"/>
        <v>Theodore Roosevelt</v>
      </c>
      <c r="E27" t="s">
        <v>191</v>
      </c>
      <c r="F27" t="s">
        <v>155</v>
      </c>
      <c r="G27" t="s">
        <v>132</v>
      </c>
      <c r="H27" t="str">
        <f t="shared" si="1"/>
        <v>Office Vacant</v>
      </c>
      <c r="I27" t="s">
        <v>192</v>
      </c>
      <c r="J27" s="16">
        <v>44391</v>
      </c>
      <c r="K27" s="16">
        <v>40972</v>
      </c>
    </row>
    <row r="28" spans="1:11" x14ac:dyDescent="0.25">
      <c r="A28">
        <v>26</v>
      </c>
      <c r="B28">
        <v>27</v>
      </c>
      <c r="C28" t="s">
        <v>193</v>
      </c>
      <c r="D28" t="str">
        <f t="shared" si="0"/>
        <v>William Howard Taft</v>
      </c>
      <c r="E28" t="s">
        <v>194</v>
      </c>
      <c r="F28" t="s">
        <v>155</v>
      </c>
      <c r="G28" t="s">
        <v>195</v>
      </c>
      <c r="H28" t="str">
        <f t="shared" si="1"/>
        <v>James S. Sherman</v>
      </c>
      <c r="I28" t="s">
        <v>196</v>
      </c>
      <c r="J28" s="16">
        <v>44391</v>
      </c>
      <c r="K28" s="16">
        <v>40972</v>
      </c>
    </row>
    <row r="29" spans="1:11" x14ac:dyDescent="0.25">
      <c r="A29">
        <v>27</v>
      </c>
      <c r="B29">
        <v>28</v>
      </c>
      <c r="C29" t="s">
        <v>197</v>
      </c>
      <c r="D29" t="str">
        <f t="shared" si="0"/>
        <v>Woodrow Wilson</v>
      </c>
      <c r="E29" t="s">
        <v>198</v>
      </c>
      <c r="F29" t="s">
        <v>118</v>
      </c>
      <c r="G29" t="s">
        <v>199</v>
      </c>
      <c r="H29" t="str">
        <f t="shared" si="1"/>
        <v>Thomas R. Marshall</v>
      </c>
      <c r="I29" t="s">
        <v>200</v>
      </c>
      <c r="J29" s="16">
        <v>44391</v>
      </c>
      <c r="K29" s="16">
        <v>40972</v>
      </c>
    </row>
    <row r="30" spans="1:11" x14ac:dyDescent="0.25">
      <c r="A30">
        <v>27</v>
      </c>
      <c r="B30">
        <v>28</v>
      </c>
      <c r="C30" t="s">
        <v>197</v>
      </c>
      <c r="D30" t="str">
        <f t="shared" si="0"/>
        <v>Woodrow Wilson</v>
      </c>
      <c r="E30" t="s">
        <v>198</v>
      </c>
      <c r="F30" t="s">
        <v>118</v>
      </c>
      <c r="G30" t="s">
        <v>199</v>
      </c>
      <c r="H30" t="str">
        <f t="shared" si="1"/>
        <v>Thomas R. Marshall</v>
      </c>
      <c r="I30" t="s">
        <v>200</v>
      </c>
      <c r="J30" s="16">
        <v>44391</v>
      </c>
      <c r="K30" s="16">
        <v>40972</v>
      </c>
    </row>
    <row r="31" spans="1:11" x14ac:dyDescent="0.25">
      <c r="A31">
        <v>28</v>
      </c>
      <c r="B31">
        <v>29</v>
      </c>
      <c r="C31" t="s">
        <v>201</v>
      </c>
      <c r="D31" t="str">
        <f t="shared" si="0"/>
        <v>Warren G. Harding</v>
      </c>
      <c r="E31" t="s">
        <v>202</v>
      </c>
      <c r="F31" t="s">
        <v>155</v>
      </c>
      <c r="G31" t="s">
        <v>203</v>
      </c>
      <c r="H31" t="str">
        <f t="shared" si="1"/>
        <v>Calvin Coolidge</v>
      </c>
      <c r="I31" t="s">
        <v>204</v>
      </c>
      <c r="J31" s="16">
        <v>44391</v>
      </c>
      <c r="K31" s="16">
        <v>40972</v>
      </c>
    </row>
    <row r="32" spans="1:11" x14ac:dyDescent="0.25">
      <c r="A32">
        <v>29</v>
      </c>
      <c r="B32">
        <v>30</v>
      </c>
      <c r="C32" t="s">
        <v>203</v>
      </c>
      <c r="D32" t="str">
        <f t="shared" si="0"/>
        <v>Calvin Coolidge</v>
      </c>
      <c r="E32" t="s">
        <v>205</v>
      </c>
      <c r="F32" t="s">
        <v>155</v>
      </c>
      <c r="G32" t="s">
        <v>132</v>
      </c>
      <c r="H32" t="str">
        <f t="shared" si="1"/>
        <v>Office Vacant</v>
      </c>
      <c r="I32" t="s">
        <v>206</v>
      </c>
      <c r="J32" s="16">
        <v>44391</v>
      </c>
      <c r="K32" s="16">
        <v>40972</v>
      </c>
    </row>
    <row r="33" spans="1:11" x14ac:dyDescent="0.25">
      <c r="A33">
        <v>30</v>
      </c>
      <c r="B33">
        <v>31</v>
      </c>
      <c r="C33" t="s">
        <v>207</v>
      </c>
      <c r="D33" t="str">
        <f t="shared" si="0"/>
        <v>Herbert Hoover</v>
      </c>
      <c r="E33" t="s">
        <v>208</v>
      </c>
      <c r="F33" t="s">
        <v>155</v>
      </c>
      <c r="G33" t="s">
        <v>209</v>
      </c>
      <c r="H33" t="str">
        <f t="shared" si="1"/>
        <v>Charles Curtis</v>
      </c>
      <c r="I33" t="s">
        <v>210</v>
      </c>
      <c r="J33" s="16">
        <v>44391</v>
      </c>
      <c r="K33" s="16">
        <v>40972</v>
      </c>
    </row>
    <row r="34" spans="1:11" x14ac:dyDescent="0.25">
      <c r="A34">
        <v>31</v>
      </c>
      <c r="B34">
        <v>32</v>
      </c>
      <c r="C34" t="s">
        <v>211</v>
      </c>
      <c r="D34" t="str">
        <f t="shared" si="0"/>
        <v>Franklin D. Roosevelt</v>
      </c>
      <c r="E34" t="s">
        <v>212</v>
      </c>
      <c r="F34" t="s">
        <v>118</v>
      </c>
      <c r="G34" t="s">
        <v>213</v>
      </c>
      <c r="H34" t="str">
        <f t="shared" si="1"/>
        <v>John Nance Garner</v>
      </c>
      <c r="I34" t="s">
        <v>214</v>
      </c>
      <c r="J34" s="16">
        <v>44391</v>
      </c>
      <c r="K34" s="16">
        <v>40972</v>
      </c>
    </row>
    <row r="35" spans="1:11" x14ac:dyDescent="0.25">
      <c r="A35">
        <v>32</v>
      </c>
      <c r="B35">
        <v>33</v>
      </c>
      <c r="C35" t="s">
        <v>215</v>
      </c>
      <c r="D35" t="str">
        <f t="shared" si="0"/>
        <v>Harry S. Truman</v>
      </c>
      <c r="E35" t="s">
        <v>216</v>
      </c>
      <c r="F35" t="s">
        <v>118</v>
      </c>
      <c r="G35" t="s">
        <v>132</v>
      </c>
      <c r="H35" t="str">
        <f t="shared" si="1"/>
        <v>Office Vacant</v>
      </c>
      <c r="I35" t="s">
        <v>217</v>
      </c>
      <c r="J35" s="16">
        <v>44391</v>
      </c>
      <c r="K35" s="16">
        <v>40972</v>
      </c>
    </row>
    <row r="36" spans="1:11" x14ac:dyDescent="0.25">
      <c r="A36">
        <v>33</v>
      </c>
      <c r="B36">
        <v>34</v>
      </c>
      <c r="C36" t="s">
        <v>218</v>
      </c>
      <c r="D36" t="str">
        <f t="shared" si="0"/>
        <v>Dwight D. Eisenhower</v>
      </c>
      <c r="E36" t="s">
        <v>219</v>
      </c>
      <c r="F36" t="s">
        <v>155</v>
      </c>
      <c r="G36" t="s">
        <v>220</v>
      </c>
      <c r="H36" t="str">
        <f t="shared" si="1"/>
        <v>Richard Nixon</v>
      </c>
      <c r="I36" t="s">
        <v>221</v>
      </c>
      <c r="J36" s="16">
        <v>44391</v>
      </c>
      <c r="K36" s="16">
        <v>40972</v>
      </c>
    </row>
    <row r="37" spans="1:11" x14ac:dyDescent="0.25">
      <c r="A37">
        <v>34</v>
      </c>
      <c r="B37">
        <v>35</v>
      </c>
      <c r="C37" t="s">
        <v>222</v>
      </c>
      <c r="D37" t="str">
        <f t="shared" si="0"/>
        <v>John F. Kennedy</v>
      </c>
      <c r="E37" t="s">
        <v>223</v>
      </c>
      <c r="F37" t="s">
        <v>118</v>
      </c>
      <c r="G37" t="s">
        <v>224</v>
      </c>
      <c r="H37" t="str">
        <f t="shared" si="1"/>
        <v>Lyndon B. Johnson</v>
      </c>
      <c r="I37" t="s">
        <v>225</v>
      </c>
      <c r="J37" s="16">
        <v>44391</v>
      </c>
      <c r="K37" s="16">
        <v>40972</v>
      </c>
    </row>
    <row r="38" spans="1:11" x14ac:dyDescent="0.25">
      <c r="A38">
        <v>35</v>
      </c>
      <c r="B38">
        <v>36</v>
      </c>
      <c r="C38" t="s">
        <v>224</v>
      </c>
      <c r="D38" t="str">
        <f t="shared" si="0"/>
        <v>Lyndon B. Johnson</v>
      </c>
      <c r="E38" t="s">
        <v>226</v>
      </c>
      <c r="F38" t="s">
        <v>118</v>
      </c>
      <c r="G38" t="s">
        <v>132</v>
      </c>
      <c r="H38" t="str">
        <f t="shared" si="1"/>
        <v>Office Vacant</v>
      </c>
      <c r="I38" t="s">
        <v>227</v>
      </c>
      <c r="J38" s="16">
        <v>44391</v>
      </c>
      <c r="K38" s="16">
        <v>40972</v>
      </c>
    </row>
    <row r="39" spans="1:11" x14ac:dyDescent="0.25">
      <c r="A39">
        <v>36</v>
      </c>
      <c r="B39">
        <v>37</v>
      </c>
      <c r="C39" t="s">
        <v>220</v>
      </c>
      <c r="D39" t="str">
        <f t="shared" si="0"/>
        <v>Richard Nixon</v>
      </c>
      <c r="E39" t="s">
        <v>228</v>
      </c>
      <c r="F39" t="s">
        <v>155</v>
      </c>
      <c r="G39" t="s">
        <v>229</v>
      </c>
      <c r="H39" t="str">
        <f t="shared" si="1"/>
        <v>Spiro Agnew</v>
      </c>
      <c r="I39" t="s">
        <v>230</v>
      </c>
      <c r="J39" s="16">
        <v>44391</v>
      </c>
      <c r="K39" s="16">
        <v>40972</v>
      </c>
    </row>
    <row r="40" spans="1:11" x14ac:dyDescent="0.25">
      <c r="A40">
        <v>37</v>
      </c>
      <c r="B40">
        <v>38</v>
      </c>
      <c r="C40" t="s">
        <v>231</v>
      </c>
      <c r="D40" t="str">
        <f t="shared" si="0"/>
        <v>Gerald Ford</v>
      </c>
      <c r="E40" t="s">
        <v>232</v>
      </c>
      <c r="F40" t="s">
        <v>155</v>
      </c>
      <c r="G40" t="s">
        <v>132</v>
      </c>
      <c r="H40" t="str">
        <f t="shared" si="1"/>
        <v>Office Vacant</v>
      </c>
      <c r="I40" t="s">
        <v>233</v>
      </c>
      <c r="J40" s="16">
        <v>44391</v>
      </c>
      <c r="K40" s="16">
        <v>40972</v>
      </c>
    </row>
    <row r="41" spans="1:11" x14ac:dyDescent="0.25">
      <c r="A41">
        <v>38</v>
      </c>
      <c r="B41">
        <v>39</v>
      </c>
      <c r="C41" t="s">
        <v>234</v>
      </c>
      <c r="D41" t="str">
        <f t="shared" si="0"/>
        <v>Jimmy Carter</v>
      </c>
      <c r="E41" t="s">
        <v>235</v>
      </c>
      <c r="F41" t="s">
        <v>118</v>
      </c>
      <c r="G41" t="s">
        <v>236</v>
      </c>
      <c r="H41" t="str">
        <f t="shared" si="1"/>
        <v>Walter Mondale</v>
      </c>
      <c r="I41" t="s">
        <v>237</v>
      </c>
      <c r="J41" s="16">
        <v>44391</v>
      </c>
      <c r="K41" s="16">
        <v>40972</v>
      </c>
    </row>
    <row r="42" spans="1:11" x14ac:dyDescent="0.25">
      <c r="A42">
        <v>39</v>
      </c>
      <c r="B42">
        <v>40</v>
      </c>
      <c r="C42" t="s">
        <v>238</v>
      </c>
      <c r="D42" t="str">
        <f t="shared" si="0"/>
        <v>Ronald Reagan</v>
      </c>
      <c r="E42" t="s">
        <v>239</v>
      </c>
      <c r="F42" t="s">
        <v>155</v>
      </c>
      <c r="G42" t="s">
        <v>240</v>
      </c>
      <c r="H42" t="str">
        <f t="shared" si="1"/>
        <v>George H. W. Bush</v>
      </c>
      <c r="I42" t="s">
        <v>241</v>
      </c>
      <c r="J42" s="16">
        <v>44391</v>
      </c>
      <c r="K42" s="16">
        <v>40972</v>
      </c>
    </row>
    <row r="43" spans="1:11" x14ac:dyDescent="0.25">
      <c r="A43">
        <v>40</v>
      </c>
      <c r="B43">
        <v>41</v>
      </c>
      <c r="C43" t="s">
        <v>240</v>
      </c>
      <c r="D43" t="str">
        <f t="shared" si="0"/>
        <v>George H. W. Bush</v>
      </c>
      <c r="E43" t="s">
        <v>242</v>
      </c>
      <c r="F43" t="s">
        <v>155</v>
      </c>
      <c r="G43" t="s">
        <v>243</v>
      </c>
      <c r="H43" t="str">
        <f t="shared" si="1"/>
        <v>Dan Quayle</v>
      </c>
      <c r="I43" t="s">
        <v>244</v>
      </c>
      <c r="J43" s="16">
        <v>44391</v>
      </c>
      <c r="K43" s="16">
        <v>40972</v>
      </c>
    </row>
    <row r="44" spans="1:11" x14ac:dyDescent="0.25">
      <c r="A44">
        <v>41</v>
      </c>
      <c r="B44">
        <v>42</v>
      </c>
      <c r="C44" t="s">
        <v>245</v>
      </c>
      <c r="D44" t="str">
        <f t="shared" si="0"/>
        <v>Bill Clinton</v>
      </c>
      <c r="E44" t="s">
        <v>246</v>
      </c>
      <c r="F44" t="s">
        <v>118</v>
      </c>
      <c r="G44" t="s">
        <v>247</v>
      </c>
      <c r="H44" t="str">
        <f t="shared" si="1"/>
        <v>Al Gore</v>
      </c>
      <c r="I44" t="s">
        <v>248</v>
      </c>
      <c r="J44" s="16">
        <v>44391</v>
      </c>
      <c r="K44" s="16">
        <v>40972</v>
      </c>
    </row>
    <row r="45" spans="1:11" x14ac:dyDescent="0.25">
      <c r="A45">
        <v>42</v>
      </c>
      <c r="B45">
        <v>43</v>
      </c>
      <c r="C45" t="s">
        <v>249</v>
      </c>
      <c r="D45" t="str">
        <f t="shared" si="0"/>
        <v>George W. Bush</v>
      </c>
      <c r="E45" t="s">
        <v>250</v>
      </c>
      <c r="F45" t="s">
        <v>155</v>
      </c>
      <c r="G45" t="s">
        <v>251</v>
      </c>
      <c r="H45" t="str">
        <f t="shared" si="1"/>
        <v>Dick Cheney</v>
      </c>
      <c r="I45" t="s">
        <v>252</v>
      </c>
      <c r="J45" s="16">
        <v>44391</v>
      </c>
      <c r="K45" s="16">
        <v>40972</v>
      </c>
    </row>
    <row r="46" spans="1:11" x14ac:dyDescent="0.25">
      <c r="A46">
        <v>43</v>
      </c>
      <c r="B46">
        <v>44</v>
      </c>
      <c r="C46" t="s">
        <v>253</v>
      </c>
      <c r="D46" t="str">
        <f t="shared" si="0"/>
        <v>Barack Obama</v>
      </c>
      <c r="E46" t="s">
        <v>254</v>
      </c>
      <c r="F46" t="s">
        <v>118</v>
      </c>
      <c r="G46" t="s">
        <v>255</v>
      </c>
      <c r="H46" t="str">
        <f t="shared" si="1"/>
        <v>Joe Biden</v>
      </c>
      <c r="I46" t="s">
        <v>256</v>
      </c>
      <c r="J46" s="17">
        <v>44391</v>
      </c>
      <c r="K46" s="17">
        <v>43862</v>
      </c>
    </row>
    <row r="47" spans="1:11" x14ac:dyDescent="0.25">
      <c r="A47">
        <v>44</v>
      </c>
      <c r="B47">
        <v>45</v>
      </c>
      <c r="C47" t="s">
        <v>257</v>
      </c>
      <c r="D47" t="str">
        <f t="shared" si="0"/>
        <v>Donald Trump</v>
      </c>
      <c r="E47" t="s">
        <v>258</v>
      </c>
      <c r="F47" t="s">
        <v>155</v>
      </c>
      <c r="G47" t="s">
        <v>259</v>
      </c>
      <c r="H47" t="str">
        <f t="shared" si="1"/>
        <v>Mike Pence</v>
      </c>
      <c r="I47" t="s">
        <v>260</v>
      </c>
      <c r="J47" s="17">
        <v>44391</v>
      </c>
      <c r="K47" s="17">
        <v>43862</v>
      </c>
    </row>
    <row r="48" spans="1:11" x14ac:dyDescent="0.25">
      <c r="H48" t="str">
        <f t="shared" si="1"/>
        <v/>
      </c>
    </row>
  </sheetData>
  <autoFilter ref="A1:K48" xr:uid="{C3F5F7A3-3000-4FD9-BA4C-A98105AA432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3D5C-E30F-4D4C-AC88-DAC3E837ADB9}">
  <dimension ref="A1:N10"/>
  <sheetViews>
    <sheetView zoomScaleNormal="100" workbookViewId="0">
      <selection activeCell="M17" sqref="M17"/>
    </sheetView>
  </sheetViews>
  <sheetFormatPr defaultRowHeight="15" x14ac:dyDescent="0.25"/>
  <cols>
    <col min="1" max="1" width="20.85546875" bestFit="1" customWidth="1"/>
    <col min="2" max="2" width="7.7109375" bestFit="1" customWidth="1"/>
    <col min="3" max="3" width="9.28515625" bestFit="1" customWidth="1"/>
    <col min="4" max="4" width="6.42578125" bestFit="1" customWidth="1"/>
    <col min="5" max="5" width="5.28515625" bestFit="1" customWidth="1"/>
    <col min="6" max="6" width="4.7109375" bestFit="1" customWidth="1"/>
    <col min="7" max="7" width="5.140625" bestFit="1" customWidth="1"/>
    <col min="8" max="8" width="4.42578125" bestFit="1" customWidth="1"/>
    <col min="9" max="9" width="7.140625" bestFit="1" customWidth="1"/>
    <col min="10" max="10" width="10.85546875" bestFit="1" customWidth="1"/>
    <col min="11" max="11" width="8.140625" bestFit="1" customWidth="1"/>
    <col min="12" max="12" width="10.42578125" bestFit="1" customWidth="1"/>
    <col min="13" max="13" width="10.140625" bestFit="1" customWidth="1"/>
    <col min="14" max="14" width="13.5703125" bestFit="1" customWidth="1"/>
  </cols>
  <sheetData>
    <row r="1" spans="1:14" x14ac:dyDescent="0.25">
      <c r="A1" s="3" t="s">
        <v>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s="2" t="s">
        <v>74</v>
      </c>
    </row>
    <row r="3" spans="1:14" x14ac:dyDescent="0.25">
      <c r="A3" t="s">
        <v>75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2">
        <f>SUM(B3:M3)</f>
        <v>5071</v>
      </c>
    </row>
    <row r="4" spans="1:14" x14ac:dyDescent="0.25">
      <c r="A4" t="s">
        <v>76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2">
        <f t="shared" ref="N4:N10" si="0">SUM(B4:M4)</f>
        <v>667</v>
      </c>
    </row>
    <row r="5" spans="1:14" x14ac:dyDescent="0.25">
      <c r="A5" t="s">
        <v>77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2">
        <f t="shared" si="0"/>
        <v>1583</v>
      </c>
    </row>
    <row r="6" spans="1:14" x14ac:dyDescent="0.25">
      <c r="A6" t="s">
        <v>78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27</v>
      </c>
      <c r="N6" s="2">
        <f>SUM(B6:M6)</f>
        <v>282</v>
      </c>
    </row>
    <row r="7" spans="1:14" x14ac:dyDescent="0.25">
      <c r="A7" t="s">
        <v>79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2">
        <f t="shared" si="0"/>
        <v>811</v>
      </c>
    </row>
    <row r="8" spans="1:14" x14ac:dyDescent="0.25">
      <c r="A8" t="s">
        <v>80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2">
        <f t="shared" si="0"/>
        <v>451</v>
      </c>
    </row>
    <row r="9" spans="1:14" x14ac:dyDescent="0.25">
      <c r="A9" t="s">
        <v>81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2">
        <f t="shared" si="0"/>
        <v>223</v>
      </c>
    </row>
    <row r="10" spans="1:14" x14ac:dyDescent="0.25">
      <c r="A10" s="2" t="s">
        <v>82</v>
      </c>
      <c r="B10" s="2">
        <f>SUM(B3:B9)</f>
        <v>898</v>
      </c>
      <c r="C10" s="2">
        <f t="shared" ref="C10:M10" si="1">SUM(C3:C9)</f>
        <v>585</v>
      </c>
      <c r="D10" s="2">
        <f t="shared" si="1"/>
        <v>547</v>
      </c>
      <c r="E10" s="2">
        <f t="shared" si="1"/>
        <v>1113</v>
      </c>
      <c r="F10" s="2">
        <f t="shared" si="1"/>
        <v>571</v>
      </c>
      <c r="G10" s="2">
        <f t="shared" si="1"/>
        <v>871</v>
      </c>
      <c r="H10" s="2">
        <f t="shared" si="1"/>
        <v>888</v>
      </c>
      <c r="I10" s="2">
        <f t="shared" si="1"/>
        <v>678</v>
      </c>
      <c r="J10" s="2">
        <f t="shared" si="1"/>
        <v>987</v>
      </c>
      <c r="K10" s="2">
        <f t="shared" si="1"/>
        <v>442</v>
      </c>
      <c r="L10" s="2">
        <f t="shared" si="1"/>
        <v>776</v>
      </c>
      <c r="M10" s="2">
        <f t="shared" si="1"/>
        <v>732</v>
      </c>
      <c r="N10" s="2">
        <f t="shared" si="0"/>
        <v>9088</v>
      </c>
    </row>
  </sheetData>
  <mergeCells count="1">
    <mergeCell ref="A1:N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3F8A1-4F77-40F9-9B20-A83A41ED54DC}">
  <dimension ref="A1"/>
  <sheetViews>
    <sheetView workbookViewId="0">
      <selection activeCell="O16" sqref="O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</vt:lpstr>
      <vt:lpstr>Data Cleaning</vt:lpstr>
      <vt:lpstr>Sales</vt:lpstr>
      <vt:lpstr>Chart of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</dc:creator>
  <cp:lastModifiedBy>sky</cp:lastModifiedBy>
  <dcterms:created xsi:type="dcterms:W3CDTF">2025-07-21T19:09:39Z</dcterms:created>
  <dcterms:modified xsi:type="dcterms:W3CDTF">2025-08-12T18:22:37Z</dcterms:modified>
</cp:coreProperties>
</file>